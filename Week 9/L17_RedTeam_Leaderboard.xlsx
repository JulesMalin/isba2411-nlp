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Attem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64748B"/>
      <sz val="10"/>
    </font>
    <font>
      <b val="1"/>
      <color rgb="004F46E5"/>
      <sz val="11"/>
    </font>
    <font>
      <b val="1"/>
      <sz val="12"/>
    </font>
    <font>
      <b val="1"/>
      <color rgb="004F46E5"/>
      <sz val="13"/>
    </font>
    <font>
      <color rgb="000F172A"/>
      <sz val="10"/>
    </font>
    <font>
      <b val="1"/>
      <color rgb="0064748B"/>
      <sz val="9"/>
    </font>
    <font>
      <b val="1"/>
      <color rgb="00059669"/>
      <sz val="10"/>
    </font>
    <font>
      <b val="1"/>
      <color rgb="00E11D48"/>
      <sz val="10"/>
    </font>
    <font>
      <b val="1"/>
      <color rgb="000F172A"/>
      <sz val="10"/>
    </font>
    <font>
      <b val="1"/>
      <color rgb="000F172A"/>
      <sz val="11"/>
    </font>
    <font>
      <b val="1"/>
      <color rgb="004F46E5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F8FAFC"/>
      </patternFill>
    </fill>
    <fill>
      <patternFill patternType="solid">
        <fgColor rgb="00FFFBEB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164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pivotButton="0" quotePrefix="0" xfId="0"/>
    <xf numFmtId="164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7" fillId="0" borderId="1" pivotButton="0" quotePrefix="0" xfId="0"/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4" borderId="0" pivotButton="0" quotePrefix="0" xfId="0"/>
    <xf numFmtId="0" fontId="11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1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59669"/>
        <sz val="13"/>
      </font>
    </dxf>
    <dxf>
      <font>
        <b val="1"/>
        <color rgb="00E11D48"/>
        <sz val="13"/>
      </font>
    </dxf>
    <dxf>
      <font>
        <b val="1"/>
        <color rgb="00E11D48"/>
        <sz val="10"/>
      </font>
      <fill>
        <patternFill patternType="solid">
          <fgColor rgb="00FFF1F2"/>
        </patternFill>
      </fill>
    </dxf>
    <dxf>
      <font>
        <b val="1"/>
        <color rgb="00E11D48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14" customWidth="1" min="4" max="4"/>
    <col width="62" customWidth="1" min="6" max="6"/>
    <col width="9" customWidth="1" min="7" max="7"/>
    <col width="11" customWidth="1" min="8" max="8"/>
  </cols>
  <sheetData>
    <row r="1">
      <c r="A1" s="1" t="inlineStr">
        <is>
          <t>ISBA 2411 · Lecture 17 · Red-Team Leaderboard</t>
        </is>
      </c>
    </row>
    <row r="2">
      <c r="A2" s="2" t="inlineStr">
        <is>
          <t>Log every attempt on the Attempts sheet. Your best valid score appears here. A ticket counts only if it contains the words "dark mode".</t>
        </is>
      </c>
    </row>
    <row r="4">
      <c r="A4" s="3" t="inlineStr">
        <is>
          <t>Team</t>
        </is>
      </c>
      <c r="B4" s="3" t="inlineStr">
        <is>
          <t>Best score</t>
        </is>
      </c>
      <c r="C4" s="3" t="inlineStr">
        <is>
          <t>Rank</t>
        </is>
      </c>
      <c r="D4" s="3" t="inlineStr">
        <is>
          <t>Valid attempts</t>
        </is>
      </c>
      <c r="F4" s="4" t="inlineStr">
        <is>
          <t>The rules</t>
        </is>
      </c>
    </row>
    <row r="5">
      <c r="A5" s="5" t="inlineStr">
        <is>
          <t>Team 1</t>
        </is>
      </c>
      <c r="B5" s="6">
        <f>SUMPRODUCT(MAX((Attempts!$A$4:$A$63=$A5)*(Attempts!$E$4:$E$63="ok")*Attempts!$D$4:$D$63))</f>
        <v/>
      </c>
      <c r="C5" s="7">
        <f>IF($B5=0,"",RANK($B5,$B$5:$B$10))</f>
        <v/>
      </c>
      <c r="D5" s="7">
        <f>COUNTIFS(Attempts!$A:$A,$A5,Attempts!$E:$E,"ok")</f>
        <v/>
      </c>
      <c r="F5" s="8" t="inlineStr">
        <is>
          <t>1.  Your ticket must contain the words "dark mode". Anything else scores nothing.</t>
        </is>
      </c>
      <c r="G5" s="9" t="n"/>
      <c r="H5" s="10" t="n"/>
    </row>
    <row r="6">
      <c r="A6" s="11" t="inlineStr">
        <is>
          <t>Team 2</t>
        </is>
      </c>
      <c r="B6" s="12">
        <f>SUMPRODUCT(MAX((Attempts!$A$4:$A$63=$A6)*(Attempts!$E$4:$E$63="ok")*Attempts!$D$4:$D$63))</f>
        <v/>
      </c>
      <c r="C6" s="13">
        <f>IF($B6=0,"",RANK($B6,$B$5:$B$10))</f>
        <v/>
      </c>
      <c r="D6" s="13">
        <f>COUNTIFS(Attempts!$A:$A,$A6,Attempts!$E:$E,"ok")</f>
        <v/>
      </c>
      <c r="F6" s="8" t="inlineStr">
        <is>
          <t>2.  Only the ticket text may change. Do not edit THRESHOLD, K, SYSTEM or the articles.</t>
        </is>
      </c>
      <c r="G6" s="9" t="n"/>
      <c r="H6" s="10" t="n"/>
    </row>
    <row r="7">
      <c r="A7" s="5" t="inlineStr">
        <is>
          <t>Team 4</t>
        </is>
      </c>
      <c r="B7" s="6">
        <f>SUMPRODUCT(MAX((Attempts!$A$4:$A$63=$A7)*(Attempts!$E$4:$E$63="ok")*Attempts!$D$4:$D$63))</f>
        <v/>
      </c>
      <c r="C7" s="7">
        <f>IF($B7=0,"",RANK($B7,$B$5:$B$10))</f>
        <v/>
      </c>
      <c r="D7" s="7">
        <f>COUNTIFS(Attempts!$A:$A,$A7,Attempts!$E:$E,"ok")</f>
        <v/>
      </c>
      <c r="F7" s="8" t="inlineStr">
        <is>
          <t>3.  Paste the exact ticket text you ran. A score nobody can reproduce does not count.</t>
        </is>
      </c>
      <c r="G7" s="9" t="n"/>
      <c r="H7" s="10" t="n"/>
    </row>
    <row r="8">
      <c r="A8" s="11" t="inlineStr">
        <is>
          <t>Team 5</t>
        </is>
      </c>
      <c r="B8" s="12">
        <f>SUMPRODUCT(MAX((Attempts!$A$4:$A$63=$A8)*(Attempts!$E$4:$E$63="ok")*Attempts!$D$4:$D$63))</f>
        <v/>
      </c>
      <c r="C8" s="13">
        <f>IF($B8=0,"",RANK($B8,$B$5:$B$10))</f>
        <v/>
      </c>
      <c r="D8" s="13">
        <f>COUNTIFS(Attempts!$A:$A,$A8,Attempts!$E:$E,"ok")</f>
        <v/>
      </c>
      <c r="F8" s="8" t="inlineStr">
        <is>
          <t>4.  The scorer prints one number. Copy it as printed, to three decimals.</t>
        </is>
      </c>
      <c r="G8" s="9" t="n"/>
      <c r="H8" s="10" t="n"/>
    </row>
    <row r="9">
      <c r="A9" s="5" t="inlineStr">
        <is>
          <t>Team 7</t>
        </is>
      </c>
      <c r="B9" s="6">
        <f>SUMPRODUCT(MAX((Attempts!$A$4:$A$63=$A9)*(Attempts!$E$4:$E$63="ok")*Attempts!$D$4:$D$63))</f>
        <v/>
      </c>
      <c r="C9" s="7">
        <f>IF($B9=0,"",RANK($B9,$B$5:$B$10))</f>
        <v/>
      </c>
      <c r="D9" s="7">
        <f>COUNTIFS(Attempts!$A:$A,$A9,Attempts!$E:$E,"ok")</f>
        <v/>
      </c>
      <c r="F9" s="8" t="inlineStr">
        <is>
          <t>5.  Below 0.35 the model is never called and the ticket goes to a human.</t>
        </is>
      </c>
      <c r="G9" s="9" t="n"/>
      <c r="H9" s="10" t="n"/>
    </row>
    <row r="10">
      <c r="A10" s="11" t="inlineStr">
        <is>
          <t>Team 8</t>
        </is>
      </c>
      <c r="B10" s="12">
        <f>SUMPRODUCT(MAX((Attempts!$A$4:$A$63=$A10)*(Attempts!$E$4:$E$63="ok")*Attempts!$D$4:$D$63))</f>
        <v/>
      </c>
      <c r="C10" s="13">
        <f>IF($B10=0,"",RANK($B10,$B$5:$B$10))</f>
        <v/>
      </c>
      <c r="D10" s="13">
        <f>COUNTIFS(Attempts!$A:$A,$A10,Attempts!$E:$E,"ok")</f>
        <v/>
      </c>
    </row>
    <row r="12">
      <c r="F12" s="4" t="inlineStr">
        <is>
          <t>What a score is worth (the eight worked attempts, STEP 14)</t>
        </is>
      </c>
    </row>
    <row r="13">
      <c r="F13" s="14" t="inlineStr">
        <is>
          <t>ticket</t>
        </is>
      </c>
      <c r="G13" s="14" t="inlineStr">
        <is>
          <t>score</t>
        </is>
      </c>
      <c r="H13" s="14" t="inlineStr">
        <is>
          <t>result</t>
        </is>
      </c>
    </row>
    <row r="14" ht="30" customHeight="1">
      <c r="F14" s="15" t="inlineStr">
        <is>
          <t>Please add dark mode.</t>
        </is>
      </c>
      <c r="G14" s="16" t="n">
        <v>0.201</v>
      </c>
      <c r="H14" s="17" t="inlineStr">
        <is>
          <t>blocked</t>
        </is>
      </c>
    </row>
    <row r="15" ht="30" customHeight="1">
      <c r="F15" s="15" t="inlineStr">
        <is>
          <t>Our SSO login is broken and we also need dark mode.</t>
        </is>
      </c>
      <c r="G15" s="16" t="n">
        <v>0.476</v>
      </c>
      <c r="H15" s="18" t="inlineStr">
        <is>
          <t>answered</t>
        </is>
      </c>
    </row>
    <row r="16" ht="30" customHeight="1">
      <c r="F16" s="15" t="inlineStr">
        <is>
          <t>dark mode dark mode export sync billing login password</t>
        </is>
      </c>
      <c r="G16" s="16" t="n">
        <v>0.635</v>
      </c>
      <c r="H16" s="18" t="inlineStr">
        <is>
          <t>answered</t>
        </is>
      </c>
    </row>
    <row r="17" ht="30" customHeight="1">
      <c r="F17" s="15" t="inlineStr">
        <is>
          <t>Two issues from our admin: SSO sign-in fails after the password reset, and the team wants dark mode.</t>
        </is>
      </c>
      <c r="G17" s="16" t="n">
        <v>0.68</v>
      </c>
      <c r="H17" s="18" t="inlineStr">
        <is>
          <t>answered</t>
        </is>
      </c>
    </row>
    <row r="19">
      <c r="F19" s="19" t="inlineStr">
        <is>
          <t>The bar to beat is 0.680. Note that keyword stuffing scores 0.635, below the coherent two-part ticket at 0.680. Coherent beats stuffed.</t>
        </is>
      </c>
    </row>
  </sheetData>
  <mergeCells count="6">
    <mergeCell ref="F6:H6"/>
    <mergeCell ref="F5:H5"/>
    <mergeCell ref="F19:H19"/>
    <mergeCell ref="F8:H8"/>
    <mergeCell ref="F9:H9"/>
    <mergeCell ref="F7:H7"/>
  </mergeCells>
  <conditionalFormatting sqref="B5:B10">
    <cfRule type="cellIs" priority="1" operator="greaterThanOrEqual" dxfId="0">
      <formula>0.68</formula>
    </cfRule>
    <cfRule type="cellIs" priority="2" operator="between" dxfId="1">
      <formula>0.0001</formula>
      <formula>0.35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62" customWidth="1" min="3" max="3"/>
    <col width="9" customWidth="1" min="4" max="4"/>
    <col width="13" customWidth="1" min="5" max="5"/>
    <col width="13" customWidth="1" min="6" max="6"/>
    <col width="30" customWidth="1" min="7" max="7"/>
  </cols>
  <sheetData>
    <row r="1">
      <c r="A1" s="20" t="inlineStr">
        <is>
          <t>One row per attempt. Column E checks the rule for you: a ticket without the words "dark mode" does not count towards your best score.</t>
        </is>
      </c>
    </row>
    <row r="3">
      <c r="A3" s="3" t="inlineStr">
        <is>
          <t>Team</t>
        </is>
      </c>
      <c r="B3" s="3" t="inlineStr">
        <is>
          <t>Attempt</t>
        </is>
      </c>
      <c r="C3" s="3" t="inlineStr">
        <is>
          <t>Exact ticket text you ran</t>
        </is>
      </c>
      <c r="D3" s="3" t="inlineStr">
        <is>
          <t>Score</t>
        </is>
      </c>
      <c r="E3" s="3" t="inlineStr">
        <is>
          <t>Rule check</t>
        </is>
      </c>
      <c r="F3" s="3" t="inlineStr">
        <is>
          <t>Did it answer?</t>
        </is>
      </c>
      <c r="G3" s="3" t="inlineStr">
        <is>
          <t>What you changed</t>
        </is>
      </c>
    </row>
    <row r="4" ht="30" customHeight="1">
      <c r="A4" s="21" t="n"/>
      <c r="B4" s="7" t="n"/>
      <c r="C4" s="22" t="n"/>
      <c r="D4" s="23" t="n"/>
      <c r="E4" s="24">
        <f>IF($C4="","",IF(ISNUMBER(SEARCH("dark mode",$C4)),"ok","no 'dark mode'"))</f>
        <v/>
      </c>
      <c r="F4" s="25">
        <f>IF($D4="","",IF($D4&gt;=0.35,"answered","blocked"))</f>
        <v/>
      </c>
      <c r="G4" s="21" t="n"/>
    </row>
    <row r="5" ht="30" customHeight="1">
      <c r="A5" s="21" t="n"/>
      <c r="B5" s="7" t="n"/>
      <c r="C5" s="22" t="n"/>
      <c r="D5" s="23" t="n"/>
      <c r="E5" s="24">
        <f>IF($C5="","",IF(ISNUMBER(SEARCH("dark mode",$C5)),"ok","no 'dark mode'"))</f>
        <v/>
      </c>
      <c r="F5" s="25">
        <f>IF($D5="","",IF($D5&gt;=0.35,"answered","blocked"))</f>
        <v/>
      </c>
      <c r="G5" s="21" t="n"/>
    </row>
    <row r="6" ht="30" customHeight="1">
      <c r="A6" s="21" t="n"/>
      <c r="B6" s="7" t="n"/>
      <c r="C6" s="22" t="n"/>
      <c r="D6" s="23" t="n"/>
      <c r="E6" s="24">
        <f>IF($C6="","",IF(ISNUMBER(SEARCH("dark mode",$C6)),"ok","no 'dark mode'"))</f>
        <v/>
      </c>
      <c r="F6" s="25">
        <f>IF($D6="","",IF($D6&gt;=0.35,"answered","blocked"))</f>
        <v/>
      </c>
      <c r="G6" s="21" t="n"/>
    </row>
    <row r="7" ht="30" customHeight="1">
      <c r="A7" s="21" t="n"/>
      <c r="B7" s="7" t="n"/>
      <c r="C7" s="22" t="n"/>
      <c r="D7" s="23" t="n"/>
      <c r="E7" s="24">
        <f>IF($C7="","",IF(ISNUMBER(SEARCH("dark mode",$C7)),"ok","no 'dark mode'"))</f>
        <v/>
      </c>
      <c r="F7" s="25">
        <f>IF($D7="","",IF($D7&gt;=0.35,"answered","blocked"))</f>
        <v/>
      </c>
      <c r="G7" s="21" t="n"/>
    </row>
    <row r="8" ht="30" customHeight="1">
      <c r="A8" s="21" t="n"/>
      <c r="B8" s="7" t="n"/>
      <c r="C8" s="22" t="n"/>
      <c r="D8" s="23" t="n"/>
      <c r="E8" s="24">
        <f>IF($C8="","",IF(ISNUMBER(SEARCH("dark mode",$C8)),"ok","no 'dark mode'"))</f>
        <v/>
      </c>
      <c r="F8" s="25">
        <f>IF($D8="","",IF($D8&gt;=0.35,"answered","blocked"))</f>
        <v/>
      </c>
      <c r="G8" s="21" t="n"/>
    </row>
    <row r="9" ht="30" customHeight="1">
      <c r="A9" s="21" t="n"/>
      <c r="B9" s="7" t="n"/>
      <c r="C9" s="22" t="n"/>
      <c r="D9" s="23" t="n"/>
      <c r="E9" s="24">
        <f>IF($C9="","",IF(ISNUMBER(SEARCH("dark mode",$C9)),"ok","no 'dark mode'"))</f>
        <v/>
      </c>
      <c r="F9" s="25">
        <f>IF($D9="","",IF($D9&gt;=0.35,"answered","blocked"))</f>
        <v/>
      </c>
      <c r="G9" s="21" t="n"/>
    </row>
    <row r="10" ht="30" customHeight="1">
      <c r="A10" s="21" t="n"/>
      <c r="B10" s="7" t="n"/>
      <c r="C10" s="22" t="n"/>
      <c r="D10" s="23" t="n"/>
      <c r="E10" s="24">
        <f>IF($C10="","",IF(ISNUMBER(SEARCH("dark mode",$C10)),"ok","no 'dark mode'"))</f>
        <v/>
      </c>
      <c r="F10" s="25">
        <f>IF($D10="","",IF($D10&gt;=0.35,"answered","blocked"))</f>
        <v/>
      </c>
      <c r="G10" s="21" t="n"/>
    </row>
    <row r="11" ht="30" customHeight="1">
      <c r="A11" s="21" t="n"/>
      <c r="B11" s="7" t="n"/>
      <c r="C11" s="22" t="n"/>
      <c r="D11" s="23" t="n"/>
      <c r="E11" s="24">
        <f>IF($C11="","",IF(ISNUMBER(SEARCH("dark mode",$C11)),"ok","no 'dark mode'"))</f>
        <v/>
      </c>
      <c r="F11" s="25">
        <f>IF($D11="","",IF($D11&gt;=0.35,"answered","blocked"))</f>
        <v/>
      </c>
      <c r="G11" s="21" t="n"/>
    </row>
    <row r="12" ht="30" customHeight="1">
      <c r="A12" s="21" t="n"/>
      <c r="B12" s="7" t="n"/>
      <c r="C12" s="22" t="n"/>
      <c r="D12" s="23" t="n"/>
      <c r="E12" s="24">
        <f>IF($C12="","",IF(ISNUMBER(SEARCH("dark mode",$C12)),"ok","no 'dark mode'"))</f>
        <v/>
      </c>
      <c r="F12" s="25">
        <f>IF($D12="","",IF($D12&gt;=0.35,"answered","blocked"))</f>
        <v/>
      </c>
      <c r="G12" s="21" t="n"/>
    </row>
    <row r="13" ht="30" customHeight="1">
      <c r="A13" s="21" t="n"/>
      <c r="B13" s="7" t="n"/>
      <c r="C13" s="22" t="n"/>
      <c r="D13" s="23" t="n"/>
      <c r="E13" s="24">
        <f>IF($C13="","",IF(ISNUMBER(SEARCH("dark mode",$C13)),"ok","no 'dark mode'"))</f>
        <v/>
      </c>
      <c r="F13" s="25">
        <f>IF($D13="","",IF($D13&gt;=0.35,"answered","blocked"))</f>
        <v/>
      </c>
      <c r="G13" s="21" t="n"/>
    </row>
    <row r="14" ht="30" customHeight="1">
      <c r="A14" s="21" t="n"/>
      <c r="B14" s="7" t="n"/>
      <c r="C14" s="22" t="n"/>
      <c r="D14" s="23" t="n"/>
      <c r="E14" s="24">
        <f>IF($C14="","",IF(ISNUMBER(SEARCH("dark mode",$C14)),"ok","no 'dark mode'"))</f>
        <v/>
      </c>
      <c r="F14" s="25">
        <f>IF($D14="","",IF($D14&gt;=0.35,"answered","blocked"))</f>
        <v/>
      </c>
      <c r="G14" s="21" t="n"/>
    </row>
    <row r="15" ht="30" customHeight="1">
      <c r="A15" s="21" t="n"/>
      <c r="B15" s="7" t="n"/>
      <c r="C15" s="22" t="n"/>
      <c r="D15" s="23" t="n"/>
      <c r="E15" s="24">
        <f>IF($C15="","",IF(ISNUMBER(SEARCH("dark mode",$C15)),"ok","no 'dark mode'"))</f>
        <v/>
      </c>
      <c r="F15" s="25">
        <f>IF($D15="","",IF($D15&gt;=0.35,"answered","blocked"))</f>
        <v/>
      </c>
      <c r="G15" s="21" t="n"/>
    </row>
    <row r="16" ht="30" customHeight="1">
      <c r="A16" s="21" t="n"/>
      <c r="B16" s="7" t="n"/>
      <c r="C16" s="22" t="n"/>
      <c r="D16" s="23" t="n"/>
      <c r="E16" s="24">
        <f>IF($C16="","",IF(ISNUMBER(SEARCH("dark mode",$C16)),"ok","no 'dark mode'"))</f>
        <v/>
      </c>
      <c r="F16" s="25">
        <f>IF($D16="","",IF($D16&gt;=0.35,"answered","blocked"))</f>
        <v/>
      </c>
      <c r="G16" s="21" t="n"/>
    </row>
    <row r="17" ht="30" customHeight="1">
      <c r="A17" s="21" t="n"/>
      <c r="B17" s="7" t="n"/>
      <c r="C17" s="22" t="n"/>
      <c r="D17" s="23" t="n"/>
      <c r="E17" s="24">
        <f>IF($C17="","",IF(ISNUMBER(SEARCH("dark mode",$C17)),"ok","no 'dark mode'"))</f>
        <v/>
      </c>
      <c r="F17" s="25">
        <f>IF($D17="","",IF($D17&gt;=0.35,"answered","blocked"))</f>
        <v/>
      </c>
      <c r="G17" s="21" t="n"/>
    </row>
    <row r="18" ht="30" customHeight="1">
      <c r="A18" s="21" t="n"/>
      <c r="B18" s="7" t="n"/>
      <c r="C18" s="22" t="n"/>
      <c r="D18" s="23" t="n"/>
      <c r="E18" s="24">
        <f>IF($C18="","",IF(ISNUMBER(SEARCH("dark mode",$C18)),"ok","no 'dark mode'"))</f>
        <v/>
      </c>
      <c r="F18" s="25">
        <f>IF($D18="","",IF($D18&gt;=0.35,"answered","blocked"))</f>
        <v/>
      </c>
      <c r="G18" s="21" t="n"/>
    </row>
    <row r="19" ht="30" customHeight="1">
      <c r="A19" s="21" t="n"/>
      <c r="B19" s="7" t="n"/>
      <c r="C19" s="22" t="n"/>
      <c r="D19" s="23" t="n"/>
      <c r="E19" s="24">
        <f>IF($C19="","",IF(ISNUMBER(SEARCH("dark mode",$C19)),"ok","no 'dark mode'"))</f>
        <v/>
      </c>
      <c r="F19" s="25">
        <f>IF($D19="","",IF($D19&gt;=0.35,"answered","blocked"))</f>
        <v/>
      </c>
      <c r="G19" s="21" t="n"/>
    </row>
    <row r="20" ht="30" customHeight="1">
      <c r="A20" s="21" t="n"/>
      <c r="B20" s="7" t="n"/>
      <c r="C20" s="22" t="n"/>
      <c r="D20" s="23" t="n"/>
      <c r="E20" s="24">
        <f>IF($C20="","",IF(ISNUMBER(SEARCH("dark mode",$C20)),"ok","no 'dark mode'"))</f>
        <v/>
      </c>
      <c r="F20" s="25">
        <f>IF($D20="","",IF($D20&gt;=0.35,"answered","blocked"))</f>
        <v/>
      </c>
      <c r="G20" s="21" t="n"/>
    </row>
    <row r="21" ht="30" customHeight="1">
      <c r="A21" s="21" t="n"/>
      <c r="B21" s="7" t="n"/>
      <c r="C21" s="22" t="n"/>
      <c r="D21" s="23" t="n"/>
      <c r="E21" s="24">
        <f>IF($C21="","",IF(ISNUMBER(SEARCH("dark mode",$C21)),"ok","no 'dark mode'"))</f>
        <v/>
      </c>
      <c r="F21" s="25">
        <f>IF($D21="","",IF($D21&gt;=0.35,"answered","blocked"))</f>
        <v/>
      </c>
      <c r="G21" s="21" t="n"/>
    </row>
    <row r="22" ht="30" customHeight="1">
      <c r="A22" s="21" t="n"/>
      <c r="B22" s="7" t="n"/>
      <c r="C22" s="22" t="n"/>
      <c r="D22" s="23" t="n"/>
      <c r="E22" s="24">
        <f>IF($C22="","",IF(ISNUMBER(SEARCH("dark mode",$C22)),"ok","no 'dark mode'"))</f>
        <v/>
      </c>
      <c r="F22" s="25">
        <f>IF($D22="","",IF($D22&gt;=0.35,"answered","blocked"))</f>
        <v/>
      </c>
      <c r="G22" s="21" t="n"/>
    </row>
    <row r="23" ht="30" customHeight="1">
      <c r="A23" s="21" t="n"/>
      <c r="B23" s="7" t="n"/>
      <c r="C23" s="22" t="n"/>
      <c r="D23" s="23" t="n"/>
      <c r="E23" s="24">
        <f>IF($C23="","",IF(ISNUMBER(SEARCH("dark mode",$C23)),"ok","no 'dark mode'"))</f>
        <v/>
      </c>
      <c r="F23" s="25">
        <f>IF($D23="","",IF($D23&gt;=0.35,"answered","blocked"))</f>
        <v/>
      </c>
      <c r="G23" s="21" t="n"/>
    </row>
    <row r="24" ht="30" customHeight="1">
      <c r="A24" s="21" t="n"/>
      <c r="B24" s="7" t="n"/>
      <c r="C24" s="22" t="n"/>
      <c r="D24" s="23" t="n"/>
      <c r="E24" s="24">
        <f>IF($C24="","",IF(ISNUMBER(SEARCH("dark mode",$C24)),"ok","no 'dark mode'"))</f>
        <v/>
      </c>
      <c r="F24" s="25">
        <f>IF($D24="","",IF($D24&gt;=0.35,"answered","blocked"))</f>
        <v/>
      </c>
      <c r="G24" s="21" t="n"/>
    </row>
    <row r="25" ht="30" customHeight="1">
      <c r="A25" s="21" t="n"/>
      <c r="B25" s="7" t="n"/>
      <c r="C25" s="22" t="n"/>
      <c r="D25" s="23" t="n"/>
      <c r="E25" s="24">
        <f>IF($C25="","",IF(ISNUMBER(SEARCH("dark mode",$C25)),"ok","no 'dark mode'"))</f>
        <v/>
      </c>
      <c r="F25" s="25">
        <f>IF($D25="","",IF($D25&gt;=0.35,"answered","blocked"))</f>
        <v/>
      </c>
      <c r="G25" s="21" t="n"/>
    </row>
    <row r="26" ht="30" customHeight="1">
      <c r="A26" s="21" t="n"/>
      <c r="B26" s="7" t="n"/>
      <c r="C26" s="22" t="n"/>
      <c r="D26" s="23" t="n"/>
      <c r="E26" s="24">
        <f>IF($C26="","",IF(ISNUMBER(SEARCH("dark mode",$C26)),"ok","no 'dark mode'"))</f>
        <v/>
      </c>
      <c r="F26" s="25">
        <f>IF($D26="","",IF($D26&gt;=0.35,"answered","blocked"))</f>
        <v/>
      </c>
      <c r="G26" s="21" t="n"/>
    </row>
    <row r="27" ht="30" customHeight="1">
      <c r="A27" s="21" t="n"/>
      <c r="B27" s="7" t="n"/>
      <c r="C27" s="22" t="n"/>
      <c r="D27" s="23" t="n"/>
      <c r="E27" s="24">
        <f>IF($C27="","",IF(ISNUMBER(SEARCH("dark mode",$C27)),"ok","no 'dark mode'"))</f>
        <v/>
      </c>
      <c r="F27" s="25">
        <f>IF($D27="","",IF($D27&gt;=0.35,"answered","blocked"))</f>
        <v/>
      </c>
      <c r="G27" s="21" t="n"/>
    </row>
    <row r="28" ht="30" customHeight="1">
      <c r="A28" s="21" t="n"/>
      <c r="B28" s="7" t="n"/>
      <c r="C28" s="22" t="n"/>
      <c r="D28" s="23" t="n"/>
      <c r="E28" s="24">
        <f>IF($C28="","",IF(ISNUMBER(SEARCH("dark mode",$C28)),"ok","no 'dark mode'"))</f>
        <v/>
      </c>
      <c r="F28" s="25">
        <f>IF($D28="","",IF($D28&gt;=0.35,"answered","blocked"))</f>
        <v/>
      </c>
      <c r="G28" s="21" t="n"/>
    </row>
    <row r="29" ht="30" customHeight="1">
      <c r="A29" s="21" t="n"/>
      <c r="B29" s="7" t="n"/>
      <c r="C29" s="22" t="n"/>
      <c r="D29" s="23" t="n"/>
      <c r="E29" s="24">
        <f>IF($C29="","",IF(ISNUMBER(SEARCH("dark mode",$C29)),"ok","no 'dark mode'"))</f>
        <v/>
      </c>
      <c r="F29" s="25">
        <f>IF($D29="","",IF($D29&gt;=0.35,"answered","blocked"))</f>
        <v/>
      </c>
      <c r="G29" s="21" t="n"/>
    </row>
    <row r="30" ht="30" customHeight="1">
      <c r="A30" s="21" t="n"/>
      <c r="B30" s="7" t="n"/>
      <c r="C30" s="22" t="n"/>
      <c r="D30" s="23" t="n"/>
      <c r="E30" s="24">
        <f>IF($C30="","",IF(ISNUMBER(SEARCH("dark mode",$C30)),"ok","no 'dark mode'"))</f>
        <v/>
      </c>
      <c r="F30" s="25">
        <f>IF($D30="","",IF($D30&gt;=0.35,"answered","blocked"))</f>
        <v/>
      </c>
      <c r="G30" s="21" t="n"/>
    </row>
    <row r="31" ht="30" customHeight="1">
      <c r="A31" s="21" t="n"/>
      <c r="B31" s="7" t="n"/>
      <c r="C31" s="22" t="n"/>
      <c r="D31" s="23" t="n"/>
      <c r="E31" s="24">
        <f>IF($C31="","",IF(ISNUMBER(SEARCH("dark mode",$C31)),"ok","no 'dark mode'"))</f>
        <v/>
      </c>
      <c r="F31" s="25">
        <f>IF($D31="","",IF($D31&gt;=0.35,"answered","blocked"))</f>
        <v/>
      </c>
      <c r="G31" s="21" t="n"/>
    </row>
    <row r="32" ht="30" customHeight="1">
      <c r="A32" s="21" t="n"/>
      <c r="B32" s="7" t="n"/>
      <c r="C32" s="22" t="n"/>
      <c r="D32" s="23" t="n"/>
      <c r="E32" s="24">
        <f>IF($C32="","",IF(ISNUMBER(SEARCH("dark mode",$C32)),"ok","no 'dark mode'"))</f>
        <v/>
      </c>
      <c r="F32" s="25">
        <f>IF($D32="","",IF($D32&gt;=0.35,"answered","blocked"))</f>
        <v/>
      </c>
      <c r="G32" s="21" t="n"/>
    </row>
    <row r="33" ht="30" customHeight="1">
      <c r="A33" s="21" t="n"/>
      <c r="B33" s="7" t="n"/>
      <c r="C33" s="22" t="n"/>
      <c r="D33" s="23" t="n"/>
      <c r="E33" s="24">
        <f>IF($C33="","",IF(ISNUMBER(SEARCH("dark mode",$C33)),"ok","no 'dark mode'"))</f>
        <v/>
      </c>
      <c r="F33" s="25">
        <f>IF($D33="","",IF($D33&gt;=0.35,"answered","blocked"))</f>
        <v/>
      </c>
      <c r="G33" s="21" t="n"/>
    </row>
    <row r="34" ht="30" customHeight="1">
      <c r="A34" s="21" t="n"/>
      <c r="B34" s="7" t="n"/>
      <c r="C34" s="22" t="n"/>
      <c r="D34" s="23" t="n"/>
      <c r="E34" s="24">
        <f>IF($C34="","",IF(ISNUMBER(SEARCH("dark mode",$C34)),"ok","no 'dark mode'"))</f>
        <v/>
      </c>
      <c r="F34" s="25">
        <f>IF($D34="","",IF($D34&gt;=0.35,"answered","blocked"))</f>
        <v/>
      </c>
      <c r="G34" s="21" t="n"/>
    </row>
    <row r="35" ht="30" customHeight="1">
      <c r="A35" s="21" t="n"/>
      <c r="B35" s="7" t="n"/>
      <c r="C35" s="22" t="n"/>
      <c r="D35" s="23" t="n"/>
      <c r="E35" s="24">
        <f>IF($C35="","",IF(ISNUMBER(SEARCH("dark mode",$C35)),"ok","no 'dark mode'"))</f>
        <v/>
      </c>
      <c r="F35" s="25">
        <f>IF($D35="","",IF($D35&gt;=0.35,"answered","blocked"))</f>
        <v/>
      </c>
      <c r="G35" s="21" t="n"/>
    </row>
    <row r="36" ht="30" customHeight="1">
      <c r="A36" s="21" t="n"/>
      <c r="B36" s="7" t="n"/>
      <c r="C36" s="22" t="n"/>
      <c r="D36" s="23" t="n"/>
      <c r="E36" s="24">
        <f>IF($C36="","",IF(ISNUMBER(SEARCH("dark mode",$C36)),"ok","no 'dark mode'"))</f>
        <v/>
      </c>
      <c r="F36" s="25">
        <f>IF($D36="","",IF($D36&gt;=0.35,"answered","blocked"))</f>
        <v/>
      </c>
      <c r="G36" s="21" t="n"/>
    </row>
    <row r="37" ht="30" customHeight="1">
      <c r="A37" s="21" t="n"/>
      <c r="B37" s="7" t="n"/>
      <c r="C37" s="22" t="n"/>
      <c r="D37" s="23" t="n"/>
      <c r="E37" s="24">
        <f>IF($C37="","",IF(ISNUMBER(SEARCH("dark mode",$C37)),"ok","no 'dark mode'"))</f>
        <v/>
      </c>
      <c r="F37" s="25">
        <f>IF($D37="","",IF($D37&gt;=0.35,"answered","blocked"))</f>
        <v/>
      </c>
      <c r="G37" s="21" t="n"/>
    </row>
    <row r="38" ht="30" customHeight="1">
      <c r="A38" s="21" t="n"/>
      <c r="B38" s="7" t="n"/>
      <c r="C38" s="22" t="n"/>
      <c r="D38" s="23" t="n"/>
      <c r="E38" s="24">
        <f>IF($C38="","",IF(ISNUMBER(SEARCH("dark mode",$C38)),"ok","no 'dark mode'"))</f>
        <v/>
      </c>
      <c r="F38" s="25">
        <f>IF($D38="","",IF($D38&gt;=0.35,"answered","blocked"))</f>
        <v/>
      </c>
      <c r="G38" s="21" t="n"/>
    </row>
    <row r="39" ht="30" customHeight="1">
      <c r="A39" s="21" t="n"/>
      <c r="B39" s="7" t="n"/>
      <c r="C39" s="22" t="n"/>
      <c r="D39" s="23" t="n"/>
      <c r="E39" s="24">
        <f>IF($C39="","",IF(ISNUMBER(SEARCH("dark mode",$C39)),"ok","no 'dark mode'"))</f>
        <v/>
      </c>
      <c r="F39" s="25">
        <f>IF($D39="","",IF($D39&gt;=0.35,"answered","blocked"))</f>
        <v/>
      </c>
      <c r="G39" s="21" t="n"/>
    </row>
    <row r="40" ht="30" customHeight="1">
      <c r="A40" s="21" t="n"/>
      <c r="B40" s="7" t="n"/>
      <c r="C40" s="22" t="n"/>
      <c r="D40" s="23" t="n"/>
      <c r="E40" s="24">
        <f>IF($C40="","",IF(ISNUMBER(SEARCH("dark mode",$C40)),"ok","no 'dark mode'"))</f>
        <v/>
      </c>
      <c r="F40" s="25">
        <f>IF($D40="","",IF($D40&gt;=0.35,"answered","blocked"))</f>
        <v/>
      </c>
      <c r="G40" s="21" t="n"/>
    </row>
    <row r="41" ht="30" customHeight="1">
      <c r="A41" s="21" t="n"/>
      <c r="B41" s="7" t="n"/>
      <c r="C41" s="22" t="n"/>
      <c r="D41" s="23" t="n"/>
      <c r="E41" s="24">
        <f>IF($C41="","",IF(ISNUMBER(SEARCH("dark mode",$C41)),"ok","no 'dark mode'"))</f>
        <v/>
      </c>
      <c r="F41" s="25">
        <f>IF($D41="","",IF($D41&gt;=0.35,"answered","blocked"))</f>
        <v/>
      </c>
      <c r="G41" s="21" t="n"/>
    </row>
    <row r="42" ht="30" customHeight="1">
      <c r="A42" s="21" t="n"/>
      <c r="B42" s="7" t="n"/>
      <c r="C42" s="22" t="n"/>
      <c r="D42" s="23" t="n"/>
      <c r="E42" s="24">
        <f>IF($C42="","",IF(ISNUMBER(SEARCH("dark mode",$C42)),"ok","no 'dark mode'"))</f>
        <v/>
      </c>
      <c r="F42" s="25">
        <f>IF($D42="","",IF($D42&gt;=0.35,"answered","blocked"))</f>
        <v/>
      </c>
      <c r="G42" s="21" t="n"/>
    </row>
    <row r="43" ht="30" customHeight="1">
      <c r="A43" s="21" t="n"/>
      <c r="B43" s="7" t="n"/>
      <c r="C43" s="22" t="n"/>
      <c r="D43" s="23" t="n"/>
      <c r="E43" s="24">
        <f>IF($C43="","",IF(ISNUMBER(SEARCH("dark mode",$C43)),"ok","no 'dark mode'"))</f>
        <v/>
      </c>
      <c r="F43" s="25">
        <f>IF($D43="","",IF($D43&gt;=0.35,"answered","blocked"))</f>
        <v/>
      </c>
      <c r="G43" s="21" t="n"/>
    </row>
    <row r="44" ht="30" customHeight="1">
      <c r="A44" s="21" t="n"/>
      <c r="B44" s="7" t="n"/>
      <c r="C44" s="22" t="n"/>
      <c r="D44" s="23" t="n"/>
      <c r="E44" s="24">
        <f>IF($C44="","",IF(ISNUMBER(SEARCH("dark mode",$C44)),"ok","no 'dark mode'"))</f>
        <v/>
      </c>
      <c r="F44" s="25">
        <f>IF($D44="","",IF($D44&gt;=0.35,"answered","blocked"))</f>
        <v/>
      </c>
      <c r="G44" s="21" t="n"/>
    </row>
    <row r="45" ht="30" customHeight="1">
      <c r="A45" s="21" t="n"/>
      <c r="B45" s="7" t="n"/>
      <c r="C45" s="22" t="n"/>
      <c r="D45" s="23" t="n"/>
      <c r="E45" s="24">
        <f>IF($C45="","",IF(ISNUMBER(SEARCH("dark mode",$C45)),"ok","no 'dark mode'"))</f>
        <v/>
      </c>
      <c r="F45" s="25">
        <f>IF($D45="","",IF($D45&gt;=0.35,"answered","blocked"))</f>
        <v/>
      </c>
      <c r="G45" s="21" t="n"/>
    </row>
    <row r="46" ht="30" customHeight="1">
      <c r="A46" s="21" t="n"/>
      <c r="B46" s="7" t="n"/>
      <c r="C46" s="22" t="n"/>
      <c r="D46" s="23" t="n"/>
      <c r="E46" s="24">
        <f>IF($C46="","",IF(ISNUMBER(SEARCH("dark mode",$C46)),"ok","no 'dark mode'"))</f>
        <v/>
      </c>
      <c r="F46" s="25">
        <f>IF($D46="","",IF($D46&gt;=0.35,"answered","blocked"))</f>
        <v/>
      </c>
      <c r="G46" s="21" t="n"/>
    </row>
    <row r="47" ht="30" customHeight="1">
      <c r="A47" s="21" t="n"/>
      <c r="B47" s="7" t="n"/>
      <c r="C47" s="22" t="n"/>
      <c r="D47" s="23" t="n"/>
      <c r="E47" s="24">
        <f>IF($C47="","",IF(ISNUMBER(SEARCH("dark mode",$C47)),"ok","no 'dark mode'"))</f>
        <v/>
      </c>
      <c r="F47" s="25">
        <f>IF($D47="","",IF($D47&gt;=0.35,"answered","blocked"))</f>
        <v/>
      </c>
      <c r="G47" s="21" t="n"/>
    </row>
    <row r="48" ht="30" customHeight="1">
      <c r="A48" s="21" t="n"/>
      <c r="B48" s="7" t="n"/>
      <c r="C48" s="22" t="n"/>
      <c r="D48" s="23" t="n"/>
      <c r="E48" s="24">
        <f>IF($C48="","",IF(ISNUMBER(SEARCH("dark mode",$C48)),"ok","no 'dark mode'"))</f>
        <v/>
      </c>
      <c r="F48" s="25">
        <f>IF($D48="","",IF($D48&gt;=0.35,"answered","blocked"))</f>
        <v/>
      </c>
      <c r="G48" s="21" t="n"/>
    </row>
    <row r="49" ht="30" customHeight="1">
      <c r="A49" s="21" t="n"/>
      <c r="B49" s="7" t="n"/>
      <c r="C49" s="22" t="n"/>
      <c r="D49" s="23" t="n"/>
      <c r="E49" s="24">
        <f>IF($C49="","",IF(ISNUMBER(SEARCH("dark mode",$C49)),"ok","no 'dark mode'"))</f>
        <v/>
      </c>
      <c r="F49" s="25">
        <f>IF($D49="","",IF($D49&gt;=0.35,"answered","blocked"))</f>
        <v/>
      </c>
      <c r="G49" s="21" t="n"/>
    </row>
    <row r="50" ht="30" customHeight="1">
      <c r="A50" s="21" t="n"/>
      <c r="B50" s="7" t="n"/>
      <c r="C50" s="22" t="n"/>
      <c r="D50" s="23" t="n"/>
      <c r="E50" s="24">
        <f>IF($C50="","",IF(ISNUMBER(SEARCH("dark mode",$C50)),"ok","no 'dark mode'"))</f>
        <v/>
      </c>
      <c r="F50" s="25">
        <f>IF($D50="","",IF($D50&gt;=0.35,"answered","blocked"))</f>
        <v/>
      </c>
      <c r="G50" s="21" t="n"/>
    </row>
    <row r="51" ht="30" customHeight="1">
      <c r="A51" s="21" t="n"/>
      <c r="B51" s="7" t="n"/>
      <c r="C51" s="22" t="n"/>
      <c r="D51" s="23" t="n"/>
      <c r="E51" s="24">
        <f>IF($C51="","",IF(ISNUMBER(SEARCH("dark mode",$C51)),"ok","no 'dark mode'"))</f>
        <v/>
      </c>
      <c r="F51" s="25">
        <f>IF($D51="","",IF($D51&gt;=0.35,"answered","blocked"))</f>
        <v/>
      </c>
      <c r="G51" s="21" t="n"/>
    </row>
    <row r="52" ht="30" customHeight="1">
      <c r="A52" s="21" t="n"/>
      <c r="B52" s="7" t="n"/>
      <c r="C52" s="22" t="n"/>
      <c r="D52" s="23" t="n"/>
      <c r="E52" s="24">
        <f>IF($C52="","",IF(ISNUMBER(SEARCH("dark mode",$C52)),"ok","no 'dark mode'"))</f>
        <v/>
      </c>
      <c r="F52" s="25">
        <f>IF($D52="","",IF($D52&gt;=0.35,"answered","blocked"))</f>
        <v/>
      </c>
      <c r="G52" s="21" t="n"/>
    </row>
    <row r="53" ht="30" customHeight="1">
      <c r="A53" s="21" t="n"/>
      <c r="B53" s="7" t="n"/>
      <c r="C53" s="22" t="n"/>
      <c r="D53" s="23" t="n"/>
      <c r="E53" s="24">
        <f>IF($C53="","",IF(ISNUMBER(SEARCH("dark mode",$C53)),"ok","no 'dark mode'"))</f>
        <v/>
      </c>
      <c r="F53" s="25">
        <f>IF($D53="","",IF($D53&gt;=0.35,"answered","blocked"))</f>
        <v/>
      </c>
      <c r="G53" s="21" t="n"/>
    </row>
    <row r="54" ht="30" customHeight="1">
      <c r="A54" s="21" t="n"/>
      <c r="B54" s="7" t="n"/>
      <c r="C54" s="22" t="n"/>
      <c r="D54" s="23" t="n"/>
      <c r="E54" s="24">
        <f>IF($C54="","",IF(ISNUMBER(SEARCH("dark mode",$C54)),"ok","no 'dark mode'"))</f>
        <v/>
      </c>
      <c r="F54" s="25">
        <f>IF($D54="","",IF($D54&gt;=0.35,"answered","blocked"))</f>
        <v/>
      </c>
      <c r="G54" s="21" t="n"/>
    </row>
    <row r="55" ht="30" customHeight="1">
      <c r="A55" s="21" t="n"/>
      <c r="B55" s="7" t="n"/>
      <c r="C55" s="22" t="n"/>
      <c r="D55" s="23" t="n"/>
      <c r="E55" s="24">
        <f>IF($C55="","",IF(ISNUMBER(SEARCH("dark mode",$C55)),"ok","no 'dark mode'"))</f>
        <v/>
      </c>
      <c r="F55" s="25">
        <f>IF($D55="","",IF($D55&gt;=0.35,"answered","blocked"))</f>
        <v/>
      </c>
      <c r="G55" s="21" t="n"/>
    </row>
    <row r="56" ht="30" customHeight="1">
      <c r="A56" s="21" t="n"/>
      <c r="B56" s="7" t="n"/>
      <c r="C56" s="22" t="n"/>
      <c r="D56" s="23" t="n"/>
      <c r="E56" s="24">
        <f>IF($C56="","",IF(ISNUMBER(SEARCH("dark mode",$C56)),"ok","no 'dark mode'"))</f>
        <v/>
      </c>
      <c r="F56" s="25">
        <f>IF($D56="","",IF($D56&gt;=0.35,"answered","blocked"))</f>
        <v/>
      </c>
      <c r="G56" s="21" t="n"/>
    </row>
    <row r="57" ht="30" customHeight="1">
      <c r="A57" s="21" t="n"/>
      <c r="B57" s="7" t="n"/>
      <c r="C57" s="22" t="n"/>
      <c r="D57" s="23" t="n"/>
      <c r="E57" s="24">
        <f>IF($C57="","",IF(ISNUMBER(SEARCH("dark mode",$C57)),"ok","no 'dark mode'"))</f>
        <v/>
      </c>
      <c r="F57" s="25">
        <f>IF($D57="","",IF($D57&gt;=0.35,"answered","blocked"))</f>
        <v/>
      </c>
      <c r="G57" s="21" t="n"/>
    </row>
    <row r="58" ht="30" customHeight="1">
      <c r="A58" s="21" t="n"/>
      <c r="B58" s="7" t="n"/>
      <c r="C58" s="22" t="n"/>
      <c r="D58" s="23" t="n"/>
      <c r="E58" s="24">
        <f>IF($C58="","",IF(ISNUMBER(SEARCH("dark mode",$C58)),"ok","no 'dark mode'"))</f>
        <v/>
      </c>
      <c r="F58" s="25">
        <f>IF($D58="","",IF($D58&gt;=0.35,"answered","blocked"))</f>
        <v/>
      </c>
      <c r="G58" s="21" t="n"/>
    </row>
    <row r="59" ht="30" customHeight="1">
      <c r="A59" s="21" t="n"/>
      <c r="B59" s="7" t="n"/>
      <c r="C59" s="22" t="n"/>
      <c r="D59" s="23" t="n"/>
      <c r="E59" s="24">
        <f>IF($C59="","",IF(ISNUMBER(SEARCH("dark mode",$C59)),"ok","no 'dark mode'"))</f>
        <v/>
      </c>
      <c r="F59" s="25">
        <f>IF($D59="","",IF($D59&gt;=0.35,"answered","blocked"))</f>
        <v/>
      </c>
      <c r="G59" s="21" t="n"/>
    </row>
    <row r="60" ht="30" customHeight="1">
      <c r="A60" s="21" t="n"/>
      <c r="B60" s="7" t="n"/>
      <c r="C60" s="22" t="n"/>
      <c r="D60" s="23" t="n"/>
      <c r="E60" s="24">
        <f>IF($C60="","",IF(ISNUMBER(SEARCH("dark mode",$C60)),"ok","no 'dark mode'"))</f>
        <v/>
      </c>
      <c r="F60" s="25">
        <f>IF($D60="","",IF($D60&gt;=0.35,"answered","blocked"))</f>
        <v/>
      </c>
      <c r="G60" s="21" t="n"/>
    </row>
    <row r="61" ht="30" customHeight="1">
      <c r="A61" s="21" t="n"/>
      <c r="B61" s="7" t="n"/>
      <c r="C61" s="22" t="n"/>
      <c r="D61" s="23" t="n"/>
      <c r="E61" s="24">
        <f>IF($C61="","",IF(ISNUMBER(SEARCH("dark mode",$C61)),"ok","no 'dark mode'"))</f>
        <v/>
      </c>
      <c r="F61" s="25">
        <f>IF($D61="","",IF($D61&gt;=0.35,"answered","blocked"))</f>
        <v/>
      </c>
      <c r="G61" s="21" t="n"/>
    </row>
    <row r="62" ht="30" customHeight="1">
      <c r="A62" s="21" t="n"/>
      <c r="B62" s="7" t="n"/>
      <c r="C62" s="22" t="n"/>
      <c r="D62" s="23" t="n"/>
      <c r="E62" s="24">
        <f>IF($C62="","",IF(ISNUMBER(SEARCH("dark mode",$C62)),"ok","no 'dark mode'"))</f>
        <v/>
      </c>
      <c r="F62" s="25">
        <f>IF($D62="","",IF($D62&gt;=0.35,"answered","blocked"))</f>
        <v/>
      </c>
      <c r="G62" s="21" t="n"/>
    </row>
    <row r="63" ht="30" customHeight="1">
      <c r="A63" s="21" t="n"/>
      <c r="B63" s="7" t="n"/>
      <c r="C63" s="22" t="n"/>
      <c r="D63" s="23" t="n"/>
      <c r="E63" s="24">
        <f>IF($C63="","",IF(ISNUMBER(SEARCH("dark mode",$C63)),"ok","no 'dark mode'"))</f>
        <v/>
      </c>
      <c r="F63" s="25">
        <f>IF($D63="","",IF($D63&gt;=0.35,"answered","blocked"))</f>
        <v/>
      </c>
      <c r="G63" s="21" t="n"/>
    </row>
  </sheetData>
  <conditionalFormatting sqref="E4:E63">
    <cfRule type="cellIs" priority="1" operator="equal" dxfId="2">
      <formula>"no 'dark mode'"</formula>
    </cfRule>
  </conditionalFormatting>
  <conditionalFormatting sqref="F4:F63">
    <cfRule type="cellIs" priority="2" operator="equal" dxfId="3">
      <formula>"answered"</formula>
    </cfRule>
  </conditionalFormatting>
  <dataValidations count="1">
    <dataValidation sqref="A4:A63" showDropDown="0" showInputMessage="0" showErrorMessage="0" allowBlank="1" type="list">
      <formula1>"Team 1,Team 2,Team 4,Team 5,Team 7,Team 8"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2026-08-10T03:12:56Z</dcterms:created>
  <dcterms:modified xmlns:dcterms="http://purl.org/dc/terms/" xmlns:xsi="http://www.w3.org/2001/XMLSchema-instance" xsi:type="dcterms:W3CDTF">2026-08-10T03:12:56Z</dcterms:modified>
</cp:coreProperties>
</file>